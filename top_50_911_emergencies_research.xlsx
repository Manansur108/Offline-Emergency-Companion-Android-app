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15c12bad6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844aa2cf48245f3"/>
    <x:sheet xmlns:r="http://schemas.openxmlformats.org/officeDocument/2006/relationships" name="Top 50 Emergencies" sheetId="2" r:id="Rdbba6bcd5d764e67"/>
    <x:sheet xmlns:r="http://schemas.openxmlformats.org/officeDocument/2006/relationships" name="Categories" sheetId="3" r:id="Rad6640b916084d82"/>
    <x:sheet xmlns:r="http://schemas.openxmlformats.org/officeDocument/2006/relationships" name="Sources" sheetId="4" r:id="R5c27f0f5e623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3B2F14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FFF7D6"/>
      </x:patternFill>
    </x:fill>
    <x:fill>
      <x:patternFill patternType="solid">
        <x:fgColor rgb="2F6F73"/>
      </x:patternFill>
    </x:fill>
  </x:fills>
  <x:borders count="10">
    <x:border/>
    <x:border>
      <x:right>
        <x:color rgb="D7DEE8"/>
      </x:right>
      <x:bottom>
        <x:color rgb="D7DEE8"/>
      </x:bottom>
    </x:border>
    <x:border>
      <x:left>
        <x:color rgb="D7DEE8"/>
      </x:left>
      <x:right>
        <x:color rgb="D7DEE8"/>
      </x:right>
      <x:bottom>
        <x:color rgb="D7DEE8"/>
      </x:bottom>
    </x:border>
    <x:border>
      <x:left>
        <x:color rgb="D7DEE8"/>
      </x:left>
      <x:bottom>
        <x:color rgb="D7DEE8"/>
      </x:bottom>
    </x:border>
    <x:border>
      <x:right>
        <x:color rgb="D7DEE8"/>
      </x:right>
      <x:top>
        <x:color rgb="D7DEE8"/>
      </x:top>
      <x:bottom>
        <x:color rgb="D7DEE8"/>
      </x:bottom>
    </x:border>
    <x:border>
      <x:left>
        <x:color rgb="D7DEE8"/>
      </x:left>
      <x:right>
        <x:color rgb="D7DEE8"/>
      </x:right>
      <x:top>
        <x:color rgb="D7DEE8"/>
      </x:top>
      <x:bottom>
        <x:color rgb="D7DEE8"/>
      </x:bottom>
    </x:border>
    <x:border>
      <x:left>
        <x:color rgb="D7DEE8"/>
      </x:left>
      <x:top>
        <x:color rgb="D7DEE8"/>
      </x:top>
      <x:bottom>
        <x:color rgb="D7DEE8"/>
      </x:bottom>
    </x:border>
    <x:border>
      <x:right>
        <x:color rgb="D7DEE8"/>
      </x:right>
      <x:top>
        <x:color rgb="D7DEE8"/>
      </x:top>
    </x:border>
    <x:border>
      <x:left>
        <x:color rgb="D7DEE8"/>
      </x:left>
      <x:right>
        <x:color rgb="D7DEE8"/>
      </x:right>
      <x:top>
        <x:color rgb="D7DEE8"/>
      </x:top>
    </x:border>
    <x:border>
      <x:left>
        <x:color rgb="D7DEE8"/>
      </x:left>
      <x:top>
        <x:color rgb="D7DEE8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287508344d1c" /><Relationship Type="http://schemas.openxmlformats.org/officeDocument/2006/relationships/theme" Target="/xl/theme/theme1.xml" Id="R4fcdb3ebf519443b" /><Relationship Type="http://schemas.openxmlformats.org/officeDocument/2006/relationships/sharedStrings" Target="/xl/sharedStrings.xml" Id="R5f268b8c4e1a4946" /><Relationship Type="http://schemas.openxmlformats.org/officeDocument/2006/relationships/worksheet" Target="/xl/worksheets/sheet1.xml" Id="R0844aa2cf48245f3" /><Relationship Type="http://schemas.openxmlformats.org/officeDocument/2006/relationships/worksheet" Target="/xl/worksheets/sheet2.xml" Id="Rdbba6bcd5d764e67" /><Relationship Type="http://schemas.openxmlformats.org/officeDocument/2006/relationships/worksheet" Target="/xl/worksheets/sheet3.xml" Id="Rad6640b916084d82" /><Relationship Type="http://schemas.openxmlformats.org/officeDocument/2006/relationships/worksheet" Target="/xl/worksheets/sheet4.xml" Id="R5c27f0f5e6234c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f4ff53309444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NFIRS Fire Department Runs by Major Category (2020)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Percent</c:v>
          </c:tx>
          <c:cat>
            <c:strRef>
              <c:f>'Overview'!$D$14:$D$22</c:f>
              <c:strCache>
                <c:ptCount val="0"/>
              </c:strCache>
            </c:strRef>
          </c:cat>
          <c:val>
            <c:numRef>
              <c:f>'Overview'!$E$14:$E$22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f4ff53309444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50Emergencies" displayName="Top50Emergencies" ref="A5:I55" headerRowCount="1">
  <x:tableColumns count="9">
    <x:tableColumn id="1" name="Rank"/>
    <x:tableColumn id="2" name="Emergency / Caller Report"/>
    <x:tableColumn id="3" name="Category"/>
    <x:tableColumn id="4" name="Primary Response"/>
    <x:tableColumn id="5" name="Typical 911 Wording / Clues"/>
    <x:tableColumn id="6" name="Why People Freeze or Miss It"/>
    <x:tableColumn id="7" name="First Action While Calling 911"/>
    <x:tableColumn id="8" name="Evidence / Prevalence Basis"/>
    <x:tableColumn id="9" name="Sources"/>
  </x:tableColumns>
  <x:tableStyleInfo name="TableStyleMedium2" showRowStripes="1"/>
</x:table>
</file>

<file path=xl/tables/table2.xml><?xml version="1.0" encoding="utf-8"?>
<x:table xmlns:x="http://schemas.openxmlformats.org/spreadsheetml/2006/main" id="2" name="EmergencyCategories" displayName="EmergencyCategories" ref="A3:D10" headerRowCount="1">
  <x:tableColumns count="4">
    <x:tableColumn id="1" name="Category"/>
    <x:tableColumn id="2" name="Definition"/>
    <x:tableColumn id="3" name="Evidence / Notes"/>
    <x:tableColumn id="4" name="Sources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" displayName="SourceNotes" ref="A3:D13" headerRowCount="1">
  <x:tableColumns count="4">
    <x:tableColumn id="1" name="Key"/>
    <x:tableColumn id="2" name="Source"/>
    <x:tableColumn id="3" name="What It Supports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f72a32391644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170be945c41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c2a3013e1a4c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ea8ee27a4b40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8.84000015258789" hidden="0" customWidth="1"/>
    <x:col min="3" max="3" width="11.4399995803833" hidden="0" customWidth="1"/>
    <x:col min="4" max="4" width="30.280000686645508" hidden="0" customWidth="1"/>
    <x:col min="5" max="5" width="11.4399995803833" hidden="0" customWidth="1"/>
    <x:col min="6" max="6" width="3.0999999046325684" hidden="0" customWidth="1"/>
    <x:col min="7" max="7" width="24.899999618530273" hidden="0" customWidth="1"/>
    <x:col min="8" max="8" width="24.899999618530273" hidden="0" customWidth="1"/>
    <x:col min="9" max="9" width="24.899999618530273" hidden="0" customWidth="1"/>
    <x:col min="10" max="10" width="24.899999618530273" hidden="0" customWidth="1"/>
    <x:col min="11" max="11" width="24.899999618530273" hidden="0" customWidth="1"/>
    <x:col min="12" max="12" width="24.899999618530273" hidden="0" customWidth="1"/>
    <x:col min="13" max="13" width="24.899999618530273" hidden="0" customWidth="1"/>
    <x:col min="14" max="14" width="24.899999618530273" hidden="0" customWidth="1"/>
  </x:cols>
  <x:sheetData>
    <x:row r="1" ht="25.5" customHeight="1">
      <x:c r="A1" s="20" t="str">
        <x:v>Top 50 911 Emergency Call Types - Research Workbook</x:v>
      </x:c>
      <x:c r="B1" s="20"/>
      <x:c r="C1" s="20"/>
      <x:c r="D1" s="20"/>
      <x:c r="E1" s="20"/>
      <x:c r="F1" s="20"/>
      <x:c r="G1" s="20"/>
      <x:c r="H1" s="20"/>
    </x:row>
    <x:row r="2" ht="42" customHeight="1">
      <x:c r="A2" s="8" t="str">
        <x:v>Important limitation: I did not find a single national U.S. source that ranks every police, fire, and EMS 911 call type across all time. This workbook uses the best available public sources: national EMS and fire datasets where counts exist, plus public CAD/police category sources for law-enforcement call types. Use this as a research-backed planning list, not an official national all-time ranking.</x:v>
      </x:c>
      <x:c r="B2" s="8"/>
      <x:c r="C2" s="8"/>
      <x:c r="D2" s="8"/>
      <x:c r="E2" s="8"/>
      <x:c r="F2" s="8"/>
      <x:c r="G2" s="8"/>
      <x:c r="H2" s="8"/>
    </x:row>
    <x:row r="3" ht="42" customHeight="1">
      <x:c r="A3" s="8"/>
      <x:c r="B3" s="8"/>
      <x:c r="C3" s="8"/>
      <x:c r="D3" s="8"/>
      <x:c r="E3" s="8"/>
      <x:c r="F3" s="8"/>
      <x:c r="G3" s="8"/>
      <x:c r="H3" s="8"/>
    </x:row>
    <x:row r="4" ht="42" customHeight="1">
      <x:c r="A4" s="8"/>
      <x:c r="B4" s="8"/>
      <x:c r="C4" s="8"/>
      <x:c r="D4" s="8"/>
      <x:c r="E4" s="8"/>
      <x:c r="F4" s="8"/>
      <x:c r="G4" s="8"/>
      <x:c r="H4" s="8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6" t="str">
        <x:v>Metric</x:v>
      </x:c>
      <x:c r="B6" s="27" t="str">
        <x:v>Value</x:v>
      </x:c>
      <x:c r="C6" s="28" t="str">
        <x:v>Source</x:v>
      </x:c>
      <x:c r="D6" s="21"/>
      <x:c r="E6" s="21"/>
      <x:c r="F6" s="21"/>
      <x:c r="G6" s="21"/>
      <x:c r="H6" s="21"/>
    </x:row>
    <x:row r="7">
      <x:c r="A7" s="29" t="str">
        <x:v>Estimated 911 calls/year in U.S.</x:v>
      </x:c>
      <x:c r="B7" s="30" t="n">
        <x:v>240000000</x:v>
      </x:c>
      <x:c r="C7" s="31" t="str">
        <x:v>S1</x:v>
      </x:c>
      <x:c r="D7" s="21"/>
      <x:c r="E7" s="21"/>
      <x:c r="F7" s="21"/>
      <x:c r="G7" s="21"/>
      <x:c r="H7" s="21"/>
    </x:row>
    <x:row r="8">
      <x:c r="A8" s="29" t="str">
        <x:v>NEMSIS EMS activations, 2023</x:v>
      </x:c>
      <x:c r="B8" s="30" t="n">
        <x:v>54190579</x:v>
      </x:c>
      <x:c r="C8" s="31" t="str">
        <x:v>S3</x:v>
      </x:c>
      <x:c r="D8" s="21"/>
      <x:c r="E8" s="21"/>
      <x:c r="F8" s="21"/>
      <x:c r="G8" s="21"/>
      <x:c r="H8" s="21"/>
    </x:row>
    <x:row r="9">
      <x:c r="A9" s="29" t="str">
        <x:v>NEMSIS treated-and-transported 911 responses, 2023</x:v>
      </x:c>
      <x:c r="B9" s="30" t="n">
        <x:v>36367261</x:v>
      </x:c>
      <x:c r="C9" s="31" t="str">
        <x:v>S3</x:v>
      </x:c>
      <x:c r="D9" s="21"/>
      <x:c r="E9" s="21"/>
      <x:c r="F9" s="21"/>
      <x:c r="G9" s="21"/>
      <x:c r="H9" s="21"/>
    </x:row>
    <x:row r="10">
      <x:c r="A10" s="32" t="str">
        <x:v>NFIRS fire department runs, 2020</x:v>
      </x:c>
      <x:c r="B10" s="33" t="n">
        <x:v>26959000</x:v>
      </x:c>
      <x:c r="C10" s="34" t="str">
        <x:v>S4</x:v>
      </x:c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2" t="str">
        <x:v>Category</x:v>
      </x:c>
      <x:c r="B13" s="22" t="str">
        <x:v>Count in Top 50</x:v>
      </x:c>
      <x:c r="C13" s="21"/>
      <x:c r="D13" s="22" t="str">
        <x:v>NFIRS 2020 Fire Dept Run Mix</x:v>
      </x:c>
      <x:c r="E13" s="22" t="str">
        <x:v>Percent</x:v>
      </x:c>
      <x:c r="F13" s="21"/>
      <x:c r="G13" s="21"/>
      <x:c r="H13" s="21"/>
    </x:row>
    <x:row r="14">
      <x:c r="A14" s="21" t="str">
        <x:v>Medical</x:v>
      </x:c>
      <x:c r="B14" s="21" t="n">
        <x:v>17</x:v>
      </x:c>
      <x:c r="C14" s="21"/>
      <x:c r="D14" s="21" t="str">
        <x:v>EMS/rescue</x:v>
      </x:c>
      <x:c r="E14" s="24" t="n">
        <x:v>64.2</x:v>
      </x:c>
      <x:c r="F14" s="21"/>
      <x:c r="G14" s="21"/>
      <x:c r="H14" s="21"/>
    </x:row>
    <x:row r="15">
      <x:c r="A15" s="21" t="str">
        <x:v>Trauma</x:v>
      </x:c>
      <x:c r="B15" s="21" t="n">
        <x:v>10</x:v>
      </x:c>
      <x:c r="C15" s="21"/>
      <x:c r="D15" s="21" t="str">
        <x:v>Good intent call</x:v>
      </x:c>
      <x:c r="E15" s="24" t="n">
        <x:v>11.7</x:v>
      </x:c>
      <x:c r="F15" s="21"/>
      <x:c r="G15" s="21"/>
      <x:c r="H15" s="21"/>
    </x:row>
    <x:row r="16">
      <x:c r="A16" s="21" t="str">
        <x:v>Law Enforcement</x:v>
      </x:c>
      <x:c r="B16" s="21" t="n">
        <x:v>8</x:v>
      </x:c>
      <x:c r="C16" s="21"/>
      <x:c r="D16" s="21" t="str">
        <x:v>False alarm/false call</x:v>
      </x:c>
      <x:c r="E16" s="24" t="n">
        <x:v>8</x:v>
      </x:c>
      <x:c r="F16" s="21"/>
      <x:c r="G16" s="21"/>
      <x:c r="H16" s="21"/>
    </x:row>
    <x:row r="17">
      <x:c r="A17" s="21" t="str">
        <x:v>Fire</x:v>
      </x:c>
      <x:c r="B17" s="21" t="n">
        <x:v>4</x:v>
      </x:c>
      <x:c r="C17" s="21"/>
      <x:c r="D17" s="21" t="str">
        <x:v>Service call</x:v>
      </x:c>
      <x:c r="E17" s="24" t="n">
        <x:v>7.6</x:v>
      </x:c>
      <x:c r="F17" s="21"/>
      <x:c r="G17" s="21"/>
      <x:c r="H17" s="21"/>
    </x:row>
    <x:row r="18">
      <x:c r="A18" s="21" t="str">
        <x:v>HazMat</x:v>
      </x:c>
      <x:c r="B18" s="21" t="n">
        <x:v>4</x:v>
      </x:c>
      <x:c r="C18" s="21"/>
      <x:c r="D18" s="21" t="str">
        <x:v>Fire</x:v>
      </x:c>
      <x:c r="E18" s="24" t="n">
        <x:v>3.9</x:v>
      </x:c>
      <x:c r="F18" s="21"/>
      <x:c r="G18" s="21"/>
      <x:c r="H18" s="21"/>
    </x:row>
    <x:row r="19">
      <x:c r="A19" s="21" t="str">
        <x:v>Behavioral</x:v>
      </x:c>
      <x:c r="B19" s="21" t="n">
        <x:v>3</x:v>
      </x:c>
      <x:c r="C19" s="21"/>
      <x:c r="D19" s="21" t="str">
        <x:v>Hazardous condition</x:v>
      </x:c>
      <x:c r="E19" s="24" t="n">
        <x:v>3.4</x:v>
      </x:c>
      <x:c r="F19" s="21"/>
      <x:c r="G19" s="21"/>
      <x:c r="H19" s="21"/>
    </x:row>
    <x:row r="20">
      <x:c r="A20" s="21" t="str">
        <x:v>Rescue</x:v>
      </x:c>
      <x:c r="B20" s="21" t="n">
        <x:v>2</x:v>
      </x:c>
      <x:c r="C20" s="21"/>
      <x:c r="D20" s="21" t="str">
        <x:v>Special incident</x:v>
      </x:c>
      <x:c r="E20" s="24" t="n">
        <x:v>0.8</x:v>
      </x:c>
      <x:c r="F20" s="21"/>
      <x:c r="G20" s="21"/>
      <x:c r="H20" s="21"/>
    </x:row>
    <x:row r="21">
      <x:c r="A21" s="21" t="str">
        <x:v>Alarm</x:v>
      </x:c>
      <x:c r="B21" s="21" t="n">
        <x:v>2</x:v>
      </x:c>
      <x:c r="C21" s="21"/>
      <x:c r="D21" s="21" t="str">
        <x:v>Severe weather/natural disaster</x:v>
      </x:c>
      <x:c r="E21" s="24" t="n">
        <x:v>0.2</x:v>
      </x:c>
      <x:c r="F21" s="21"/>
      <x:c r="G21" s="21"/>
      <x:c r="H21" s="21"/>
    </x:row>
    <x:row r="22">
      <x:c r="A22" s="21"/>
      <x:c r="B22" s="21"/>
      <x:c r="C22" s="21"/>
      <x:c r="D22" s="21" t="str">
        <x:v>Overpressure rupture/explosion</x:v>
      </x:c>
      <x:c r="E22" s="24" t="n">
        <x:v>0.1</x:v>
      </x:c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8" t="str">
        <x:v>Practical caller rule: tell 911 the exact location first, then what happened, then who is hurt or in danger. Stay on the line and follow dispatcher instructions. For life-threatening medical problems, check safety, breathing, responsiveness, and severe bleeding while help is being sent.</x:v>
      </x:c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</x:sheetData>
  <x:mergeCells>
    <x:mergeCell ref="A1:H1"/>
    <x:mergeCell ref="A2:H4"/>
    <x:mergeCell ref="A24:H26"/>
  </x:mergeCells>
  <x:pageMargins left="0.7" right="0.7" top="0.75" bottom="0.75" header="0.3" footer="0.3"/>
  <x:drawing xmlns:r="http://schemas.openxmlformats.org/officeDocument/2006/relationships" r:id="R40f72a32391644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28.940000534057617" hidden="0" customWidth="1"/>
    <x:col min="3" max="3" width="16.81999969482422" hidden="0" customWidth="1"/>
    <x:col min="4" max="4" width="14.130000114440918" hidden="0" customWidth="1"/>
    <x:col min="5" max="5" width="34.31999969482422" hidden="0" customWidth="1"/>
    <x:col min="6" max="6" width="33.650001525878906" hidden="0" customWidth="1"/>
    <x:col min="7" max="7" width="35.66999816894531" hidden="0" customWidth="1"/>
    <x:col min="8" max="8" width="32.29999923706055" hidden="0" customWidth="1"/>
    <x:col min="9" max="9" width="10.770000457763672" hidden="0" customWidth="1"/>
  </x:cols>
  <x:sheetData>
    <x:row r="1">
      <x:c r="A1" s="20" t="str">
        <x:v>Research-Prioritized Top 50 Emergencies Reported Through 911 / CAD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8" t="str">
        <x:v>Ranking blends available national EMS/fire counts with common public-safety CAD categories. Rows with exact national counts show them in the Evidence column; law-enforcement rows are common dispatch categories because national all-type police 911 counts are not published in one standard source.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43.5" customHeight="1">
      <x:c r="A5" s="22" t="str">
        <x:v>Rank</x:v>
      </x:c>
      <x:c r="B5" s="22" t="str">
        <x:v>Emergency / Caller Report</x:v>
      </x:c>
      <x:c r="C5" s="22" t="str">
        <x:v>Category</x:v>
      </x:c>
      <x:c r="D5" s="22" t="str">
        <x:v>Primary Response</x:v>
      </x:c>
      <x:c r="E5" s="22" t="str">
        <x:v>Typical 911 Wording / Clues</x:v>
      </x:c>
      <x:c r="F5" s="22" t="str">
        <x:v>Why People Freeze or Miss It</x:v>
      </x:c>
      <x:c r="G5" s="22" t="str">
        <x:v>First Action While Calling 911</x:v>
      </x:c>
      <x:c r="H5" s="22" t="str">
        <x:v>Evidence / Prevalence Basis</x:v>
      </x:c>
      <x:c r="I5" s="22" t="str">
        <x:v>Sources</x:v>
      </x:c>
    </x:row>
    <x:row r="6" ht="43.5" customHeight="1">
      <x:c r="A6" s="25" t="n">
        <x:v>1</x:v>
      </x:c>
      <x:c r="B6" s="21" t="str">
        <x:v>Weakness / sick person</x:v>
      </x:c>
      <x:c r="C6" s="21" t="str">
        <x:v>Medical</x:v>
      </x:c>
      <x:c r="D6" s="21" t="str">
        <x:v>EMS</x:v>
      </x:c>
      <x:c r="E6" s="21" t="str">
        <x:v>Caller reports too weak to stand, sudden illness, or general sickness.</x:v>
      </x:c>
      <x:c r="F6" s="21" t="str">
        <x:v>Symptoms can look vague, especially in older adults.</x:v>
      </x:c>
      <x:c r="G6" s="21" t="str">
        <x:v>Give exact location, age, consciousness, breathing status, and any sudden change.</x:v>
      </x:c>
      <x:c r="H6" s="21" t="str">
        <x:v>2,017,328 NEMSIS 2023 primary-symptom events</x:v>
      </x:c>
      <x:c r="I6" s="25" t="str">
        <x:v>S3</x:v>
      </x:c>
    </x:row>
    <x:row r="7" ht="43.5" customHeight="1">
      <x:c r="A7" s="25" t="n">
        <x:v>2</x:v>
      </x:c>
      <x:c r="B7" s="21" t="str">
        <x:v>Shortness of breath</x:v>
      </x:c>
      <x:c r="C7" s="21" t="str">
        <x:v>Medical</x:v>
      </x:c>
      <x:c r="D7" s="21" t="str">
        <x:v>EMS / Fire</x:v>
      </x:c>
      <x:c r="E7" s="21" t="str">
        <x:v>Trouble breathing, asthma/COPD flare, choking sensation, blue lips, cannot speak full sentences.</x:v>
      </x:c>
      <x:c r="F7" s="21" t="str">
        <x:v>Panic and breathing distress can make it hard to explain.</x:v>
      </x:c>
      <x:c r="G7" s="21" t="str">
        <x:v>Sit upright if safe, loosen tight clothing, avoid exertion, report if not breathing normally.</x:v>
      </x:c>
      <x:c r="H7" s="21" t="str">
        <x:v>1,479,611 NEMSIS 2023 primary-symptom events</x:v>
      </x:c>
      <x:c r="I7" s="25" t="str">
        <x:v>S3, S9</x:v>
      </x:c>
    </x:row>
    <x:row r="8" ht="43.5" customHeight="1">
      <x:c r="A8" s="25" t="n">
        <x:v>3</x:v>
      </x:c>
      <x:c r="B8" s="21" t="str">
        <x:v>Chest pain / possible heart attack</x:v>
      </x:c>
      <x:c r="C8" s="21" t="str">
        <x:v>Medical</x:v>
      </x:c>
      <x:c r="D8" s="21" t="str">
        <x:v>EMS / Fire</x:v>
      </x:c>
      <x:c r="E8" s="21" t="str">
        <x:v>Chest pressure, pain to arm/jaw/back, sweating, nausea, shortness of breath.</x:v>
      </x:c>
      <x:c r="F8" s="21" t="str">
        <x:v>People often minimize symptoms or wait to see if it passes.</x:v>
      </x:c>
      <x:c r="G8" s="21" t="str">
        <x:v>Stop activity, sit/rest, unlock door if alone, report medications and cardiac history.</x:v>
      </x:c>
      <x:c r="H8" s="21" t="str">
        <x:v>1,306,563 NEMSIS 2023 primary-symptom events</x:v>
      </x:c>
      <x:c r="I8" s="25" t="str">
        <x:v>S3, S2</x:v>
      </x:c>
    </x:row>
    <x:row r="9" ht="43.5" customHeight="1">
      <x:c r="A9" s="25" t="n">
        <x:v>4</x:v>
      </x:c>
      <x:c r="B9" s="21" t="str">
        <x:v>Change in mental status / confusion</x:v>
      </x:c>
      <x:c r="C9" s="21" t="str">
        <x:v>Medical</x:v>
      </x:c>
      <x:c r="D9" s="21" t="str">
        <x:v>EMS</x:v>
      </x:c>
      <x:c r="E9" s="21" t="str">
        <x:v>Sudden confusion, not acting normally, hard to wake, disoriented, strange behavior.</x:v>
      </x:c>
      <x:c r="F9" s="21" t="str">
        <x:v>Bystanders may think it is intoxication, fatigue, or behavior instead of illness.</x:v>
      </x:c>
      <x:c r="G9" s="21" t="str">
        <x:v>Report last-known-normal time, breathing, medications, diabetes, stroke signs, and safety risks.</x:v>
      </x:c>
      <x:c r="H9" s="21" t="str">
        <x:v>1,277,147 NEMSIS 2023 primary-symptom events</x:v>
      </x:c>
      <x:c r="I9" s="25" t="str">
        <x:v>S3</x:v>
      </x:c>
    </x:row>
    <x:row r="10" ht="43.5" customHeight="1">
      <x:c r="A10" s="25" t="n">
        <x:v>5</x:v>
      </x:c>
      <x:c r="B10" s="21" t="str">
        <x:v>Generalized pain</x:v>
      </x:c>
      <x:c r="C10" s="21" t="str">
        <x:v>Medical</x:v>
      </x:c>
      <x:c r="D10" s="21" t="str">
        <x:v>EMS</x:v>
      </x:c>
      <x:c r="E10" s="21" t="str">
        <x:v>Severe all-over pain, unknown source of pain, pain with weakness or illness.</x:v>
      </x:c>
      <x:c r="F10" s="21" t="str">
        <x:v>Pain descriptions can be unclear under stress.</x:v>
      </x:c>
      <x:c r="G10" s="21" t="str">
        <x:v>Keep person still and comfortable; report pain location, onset, severity, trauma, and pregnancy if relevant.</x:v>
      </x:c>
      <x:c r="H10" s="21" t="str">
        <x:v>1,183,401 NEMSIS 2023 primary-symptom events</x:v>
      </x:c>
      <x:c r="I10" s="25" t="str">
        <x:v>S3, S2</x:v>
      </x:c>
    </x:row>
    <x:row r="11" ht="43.5" customHeight="1">
      <x:c r="A11" s="25" t="n">
        <x:v>6</x:v>
      </x:c>
      <x:c r="B11" s="21" t="str">
        <x:v>Other general symptoms and signs</x:v>
      </x:c>
      <x:c r="C11" s="21" t="str">
        <x:v>Medical</x:v>
      </x:c>
      <x:c r="D11" s="21" t="str">
        <x:v>EMS</x:v>
      </x:c>
      <x:c r="E11" s="21" t="str">
        <x:v>Caller knows something is wrong but cannot identify a specific complaint.</x:v>
      </x:c>
      <x:c r="F11" s="21" t="str">
        <x:v>Unclear symptoms create hesitation about whether 911 is appropriate.</x:v>
      </x:c>
      <x:c r="G11" s="21" t="str">
        <x:v>Tell dispatcher exactly what changed and answer questions; do not hang up.</x:v>
      </x:c>
      <x:c r="H11" s="21" t="str">
        <x:v>901,678 NEMSIS 2023 primary-symptom events</x:v>
      </x:c>
      <x:c r="I11" s="25" t="str">
        <x:v>S3, S2</x:v>
      </x:c>
    </x:row>
    <x:row r="12" ht="43.5" customHeight="1">
      <x:c r="A12" s="25" t="n">
        <x:v>7</x:v>
      </x:c>
      <x:c r="B12" s="21" t="str">
        <x:v>Nausea and vomiting</x:v>
      </x:c>
      <x:c r="C12" s="21" t="str">
        <x:v>Medical</x:v>
      </x:c>
      <x:c r="D12" s="21" t="str">
        <x:v>EMS</x:v>
      </x:c>
      <x:c r="E12" s="21" t="str">
        <x:v>Persistent vomiting, dehydration, vomiting with chest pain, head injury, pregnancy, or severe abdominal pain.</x:v>
      </x:c>
      <x:c r="F12" s="21" t="str">
        <x:v>Can seem minor until paired with other danger signs.</x:v>
      </x:c>
      <x:c r="G12" s="21" t="str">
        <x:v>Keep airway clear, turn person on side if sleepy, report blood, trauma, poison/overdose, or chest pain.</x:v>
      </x:c>
      <x:c r="H12" s="21" t="str">
        <x:v>708,686 NEMSIS 2023 primary-symptom events</x:v>
      </x:c>
      <x:c r="I12" s="25" t="str">
        <x:v>S3, S9</x:v>
      </x:c>
    </x:row>
    <x:row r="13" ht="43.5" customHeight="1">
      <x:c r="A13" s="25" t="n">
        <x:v>8</x:v>
      </x:c>
      <x:c r="B13" s="21" t="str">
        <x:v>Adult health check / medical assist</x:v>
      </x:c>
      <x:c r="C13" s="21" t="str">
        <x:v>Medical</x:v>
      </x:c>
      <x:c r="D13" s="21" t="str">
        <x:v>EMS / Police / Fire</x:v>
      </x:c>
      <x:c r="E13" s="21" t="str">
        <x:v>Caller requests help checking a person who seems ill or cannot care for self.</x:v>
      </x:c>
      <x:c r="F13" s="21" t="str">
        <x:v>Not always obvious whether this is urgent or social support.</x:v>
      </x:c>
      <x:c r="G13" s="21" t="str">
        <x:v>Give access instructions and describe current symptoms, consciousness, breathing, and hazards.</x:v>
      </x:c>
      <x:c r="H13" s="21" t="str">
        <x:v>702,838 NEMSIS 2023 primary-symptom events</x:v>
      </x:c>
      <x:c r="I13" s="25" t="str">
        <x:v>S3, S2</x:v>
      </x:c>
    </x:row>
    <x:row r="14" ht="43.5" customHeight="1">
      <x:c r="A14" s="25" t="n">
        <x:v>9</x:v>
      </x:c>
      <x:c r="B14" s="21" t="str">
        <x:v>Back pain</x:v>
      </x:c>
      <x:c r="C14" s="21" t="str">
        <x:v>Medical</x:v>
      </x:c>
      <x:c r="D14" s="21" t="str">
        <x:v>EMS</x:v>
      </x:c>
      <x:c r="E14" s="21" t="str">
        <x:v>Severe back pain, back pain after fall/crash, weakness/numbness, or unable to move.</x:v>
      </x:c>
      <x:c r="F14" s="21" t="str">
        <x:v>People may fear moving the person or may underestimate spinal risk.</x:v>
      </x:c>
      <x:c r="G14" s="21" t="str">
        <x:v>Do not move if trauma or neurologic symptoms; report injury mechanism and limb weakness/numbness.</x:v>
      </x:c>
      <x:c r="H14" s="21" t="str">
        <x:v>578,797 NEMSIS 2023 primary-symptom events</x:v>
      </x:c>
      <x:c r="I14" s="25" t="str">
        <x:v>S3, S9</x:v>
      </x:c>
    </x:row>
    <x:row r="15" ht="43.5" customHeight="1">
      <x:c r="A15" s="25" t="n">
        <x:v>10</x:v>
      </x:c>
      <x:c r="B15" s="21" t="str">
        <x:v>Syncope / fainting</x:v>
      </x:c>
      <x:c r="C15" s="21" t="str">
        <x:v>Medical</x:v>
      </x:c>
      <x:c r="D15" s="21" t="str">
        <x:v>EMS</x:v>
      </x:c>
      <x:c r="E15" s="21" t="str">
        <x:v>Passed out, fainted, collapsed, or briefly unresponsive.</x:v>
      </x:c>
      <x:c r="F15" s="21" t="str">
        <x:v>Witnesses may not know if it was fainting, seizure, cardiac arrest, or overdose.</x:v>
      </x:c>
      <x:c r="G15" s="21" t="str">
        <x:v>Check breathing, keep flat if awake, start CPR if unresponsive and not breathing normally.</x:v>
      </x:c>
      <x:c r="H15" s="21" t="str">
        <x:v>542,821 NEMSIS 2023 primary-symptom events</x:v>
      </x:c>
      <x:c r="I15" s="25" t="str">
        <x:v>S3, S9</x:v>
      </x:c>
    </x:row>
    <x:row r="16" ht="43.5" customHeight="1">
      <x:c r="A16" s="25" t="n">
        <x:v>11</x:v>
      </x:c>
      <x:c r="B16" s="21" t="str">
        <x:v>Dizziness / light-headedness</x:v>
      </x:c>
      <x:c r="C16" s="21" t="str">
        <x:v>Medical</x:v>
      </x:c>
      <x:c r="D16" s="21" t="str">
        <x:v>EMS</x:v>
      </x:c>
      <x:c r="E16" s="21" t="str">
        <x:v>Severe dizziness, near-fainting, vertigo, weakness, or fall risk.</x:v>
      </x:c>
      <x:c r="F16" s="21" t="str">
        <x:v>May be dismissed until paired with stroke, heart, or dehydration signs.</x:v>
      </x:c>
      <x:c r="G16" s="21" t="str">
        <x:v>Have person sit/lie down; report sudden onset, speech/face/arm changes, chest pain, or head injury.</x:v>
      </x:c>
      <x:c r="H16" s="21" t="str">
        <x:v>515,629 NEMSIS 2023 primary-symptom events</x:v>
      </x:c>
      <x:c r="I16" s="25" t="str">
        <x:v>S3</x:v>
      </x:c>
    </x:row>
    <x:row r="17" ht="43.5" customHeight="1">
      <x:c r="A17" s="25" t="n">
        <x:v>12</x:v>
      </x:c>
      <x:c r="B17" s="21" t="str">
        <x:v>Hemorrhage / severe bleeding</x:v>
      </x:c>
      <x:c r="C17" s="21" t="str">
        <x:v>Trauma / Medical</x:v>
      </x:c>
      <x:c r="D17" s="21" t="str">
        <x:v>EMS / Fire / Police</x:v>
      </x:c>
      <x:c r="E17" s="21" t="str">
        <x:v>Heavy bleeding, spurting blood, uncontrolled bleeding, blood after injury or medical issue.</x:v>
      </x:c>
      <x:c r="F17" s="21" t="str">
        <x:v>Blood can trigger panic or freezing.</x:v>
      </x:c>
      <x:c r="G17" s="21" t="str">
        <x:v>Apply firm direct pressure with cloth/gauze if safe; keep pressure until help arrives.</x:v>
      </x:c>
      <x:c r="H17" s="21" t="str">
        <x:v>495,402 NEMSIS 2023 primary-symptom events</x:v>
      </x:c>
      <x:c r="I17" s="25" t="str">
        <x:v>S3, S9</x:v>
      </x:c>
    </x:row>
    <x:row r="18" ht="43.5" customHeight="1">
      <x:c r="A18" s="25" t="n">
        <x:v>13</x:v>
      </x:c>
      <x:c r="B18" s="21" t="str">
        <x:v>Severe headache</x:v>
      </x:c>
      <x:c r="C18" s="21" t="str">
        <x:v>Medical</x:v>
      </x:c>
      <x:c r="D18" s="21" t="str">
        <x:v>EMS</x:v>
      </x:c>
      <x:c r="E18" s="21" t="str">
        <x:v>Worst headache, sudden thunderclap headache, headache with weakness, confusion, fever, or trauma.</x:v>
      </x:c>
      <x:c r="F18" s="21" t="str">
        <x:v>Many headaches are common, so red flags may be missed.</x:v>
      </x:c>
      <x:c r="G18" s="21" t="str">
        <x:v>Report sudden onset, neurologic changes, head injury, anticoagulants, and fever/stiff neck.</x:v>
      </x:c>
      <x:c r="H18" s="21" t="str">
        <x:v>484,795 NEMSIS 2023 primary-symptom events</x:v>
      </x:c>
      <x:c r="I18" s="25" t="str">
        <x:v>S3</x:v>
      </x:c>
    </x:row>
    <x:row r="19" ht="43.5" customHeight="1">
      <x:c r="A19" s="25" t="n">
        <x:v>14</x:v>
      </x:c>
      <x:c r="B19" s="21" t="str">
        <x:v>Other malaise / not feeling well</x:v>
      </x:c>
      <x:c r="C19" s="21" t="str">
        <x:v>Medical</x:v>
      </x:c>
      <x:c r="D19" s="21" t="str">
        <x:v>EMS</x:v>
      </x:c>
      <x:c r="E19" s="21" t="str">
        <x:v>Unwell, weak, fatigued, worsening chronic disease, or nonspecific illness.</x:v>
      </x:c>
      <x:c r="F19" s="21" t="str">
        <x:v>Vague complaints can delay calling.</x:v>
      </x:c>
      <x:c r="G19" s="21" t="str">
        <x:v>Use concrete observations: awake, breathing, skin color, speech, mobility, pain, medications.</x:v>
      </x:c>
      <x:c r="H19" s="21" t="str">
        <x:v>459,763 NEMSIS 2023 primary-symptom events</x:v>
      </x:c>
      <x:c r="I19" s="25" t="str">
        <x:v>S3, S2</x:v>
      </x:c>
    </x:row>
    <x:row r="20" ht="43.5" customHeight="1">
      <x:c r="A20" s="25" t="n">
        <x:v>15</x:v>
      </x:c>
      <x:c r="B20" s="21" t="str">
        <x:v>Abdominal pain</x:v>
      </x:c>
      <x:c r="C20" s="21" t="str">
        <x:v>Medical</x:v>
      </x:c>
      <x:c r="D20" s="21" t="str">
        <x:v>EMS</x:v>
      </x:c>
      <x:c r="E20" s="21" t="str">
        <x:v>Severe belly pain, pregnancy-related pain, vomiting blood, fainting, rigid abdomen.</x:v>
      </x:c>
      <x:c r="F20" s="21" t="str">
        <x:v>Can be hard to judge severity by sight.</x:v>
      </x:c>
      <x:c r="G20" s="21" t="str">
        <x:v>Do not give food/drink if surgery might be needed; report pregnancy, trauma, bleeding, and pain onset.</x:v>
      </x:c>
      <x:c r="H20" s="21" t="str">
        <x:v>405,917 NEMSIS 2023 primary-symptom events</x:v>
      </x:c>
      <x:c r="I20" s="25" t="str">
        <x:v>S3</x:v>
      </x:c>
    </x:row>
    <x:row r="21" ht="43.5" customHeight="1">
      <x:c r="A21" s="25" t="n">
        <x:v>16</x:v>
      </x:c>
      <x:c r="B21" s="21" t="str">
        <x:v>Pain in limb / hand / foot</x:v>
      </x:c>
      <x:c r="C21" s="21" t="str">
        <x:v>Medical / Trauma</x:v>
      </x:c>
      <x:c r="D21" s="21" t="str">
        <x:v>EMS</x:v>
      </x:c>
      <x:c r="E21" s="21" t="str">
        <x:v>Severe limb pain, swelling, numbness, injury, possible clot, or circulation issue.</x:v>
      </x:c>
      <x:c r="F21" s="21" t="str">
        <x:v>People may focus on pain and miss circulation or injury severity.</x:v>
      </x:c>
      <x:c r="G21" s="21" t="str">
        <x:v>Keep limb still; report injury, deformity, color change, numbness, bleeding, and pulse if known.</x:v>
      </x:c>
      <x:c r="H21" s="21" t="str">
        <x:v>348,594 NEMSIS 2023 primary-symptom events</x:v>
      </x:c>
      <x:c r="I21" s="25" t="str">
        <x:v>S3</x:v>
      </x:c>
    </x:row>
    <x:row r="22" ht="43.5" customHeight="1">
      <x:c r="A22" s="25" t="n">
        <x:v>17</x:v>
      </x:c>
      <x:c r="B22" s="21" t="str">
        <x:v>Anxiety / panic / worries</x:v>
      </x:c>
      <x:c r="C22" s="21" t="str">
        <x:v>Behavioral / Medical</x:v>
      </x:c>
      <x:c r="D22" s="21" t="str">
        <x:v>EMS / Police / Crisis</x:v>
      </x:c>
      <x:c r="E22" s="21" t="str">
        <x:v>Panic attack, hyperventilation, fear, distress, or behavioral crisis.</x:v>
      </x:c>
      <x:c r="F22" s="21" t="str">
        <x:v>Can mimic chest pain or breathing emergencies, and caller may be overwhelmed.</x:v>
      </x:c>
      <x:c r="G22" s="21" t="str">
        <x:v>Move to a safer quiet place if possible; report weapons, self-harm risk, chest pain, and breathing.</x:v>
      </x:c>
      <x:c r="H22" s="21" t="str">
        <x:v>623,935 NEMSIS 2023 primary-symptom events</x:v>
      </x:c>
      <x:c r="I22" s="25" t="str">
        <x:v>S3, S7</x:v>
      </x:c>
    </x:row>
    <x:row r="23" ht="43.5" customHeight="1">
      <x:c r="A23" s="25" t="n">
        <x:v>18</x:v>
      </x:c>
      <x:c r="B23" s="21" t="str">
        <x:v>Seizure / convulsions</x:v>
      </x:c>
      <x:c r="C23" s="21" t="str">
        <x:v>Medical</x:v>
      </x:c>
      <x:c r="D23" s="21" t="str">
        <x:v>EMS</x:v>
      </x:c>
      <x:c r="E23" s="21" t="str">
        <x:v>Shaking, seizure, post-seizure confusion, repeated seizure, first seizure, seizure with injury/pregnancy.</x:v>
      </x:c>
      <x:c r="F23" s="21" t="str">
        <x:v>Bystanders often try unsafe restraint or objects in the mouth.</x:v>
      </x:c>
      <x:c r="G23" s="21" t="str">
        <x:v>Clear hazards, do not restrain, time the seizure, turn on side after shaking if possible.</x:v>
      </x:c>
      <x:c r="H23" s="21" t="str">
        <x:v>296,219 NEMSIS 2023 primary-symptom events</x:v>
      </x:c>
      <x:c r="I23" s="25" t="str">
        <x:v>S3, S9</x:v>
      </x:c>
    </x:row>
    <x:row r="24" ht="43.5" customHeight="1">
      <x:c r="A24" s="25" t="n">
        <x:v>19</x:v>
      </x:c>
      <x:c r="B24" s="21" t="str">
        <x:v>Strange or inexplicable behavior</x:v>
      </x:c>
      <x:c r="C24" s="21" t="str">
        <x:v>Behavioral / Medical</x:v>
      </x:c>
      <x:c r="D24" s="21" t="str">
        <x:v>EMS / Police / Crisis</x:v>
      </x:c>
      <x:c r="E24" s="21" t="str">
        <x:v>Agitation, psychosis, delirium, intoxication-like behavior, unsafe or bizarre behavior.</x:v>
      </x:c>
      <x:c r="F24" s="21" t="str">
        <x:v>It can be unclear whether this is medical, mental health, drugs, or crime.</x:v>
      </x:c>
      <x:c r="G24" s="21" t="str">
        <x:v>Keep distance, remove hazards if safe, report weapons, threats, substances, and medical history.</x:v>
      </x:c>
      <x:c r="H24" s="21" t="str">
        <x:v>265,807 NEMSIS 2023 primary-symptom events</x:v>
      </x:c>
      <x:c r="I24" s="25" t="str">
        <x:v>S3, S7</x:v>
      </x:c>
    </x:row>
    <x:row r="25" ht="43.5" customHeight="1">
      <x:c r="A25" s="25" t="n">
        <x:v>20</x:v>
      </x:c>
      <x:c r="B25" s="21" t="str">
        <x:v>Cardiac arrest / CPR needed</x:v>
      </x:c>
      <x:c r="C25" s="21" t="str">
        <x:v>Medical</x:v>
      </x:c>
      <x:c r="D25" s="21" t="str">
        <x:v>EMS / Fire</x:v>
      </x:c>
      <x:c r="E25" s="21" t="str">
        <x:v>Unresponsive and not breathing normally, gasping, no signs of life.</x:v>
      </x:c>
      <x:c r="F25" s="21" t="str">
        <x:v>People freeze because the situation feels final or they fear doing CPR wrong.</x:v>
      </x:c>
      <x:c r="G25" s="21" t="str">
        <x:v>Call 911 on speaker, start compressions if trained or coached, send for AED if available.</x:v>
      </x:c>
      <x:c r="H25" s="21" t="str">
        <x:v>Common CAD/PulsePoint CPR-needed event; national public CPR alert category</x:v>
      </x:c>
      <x:c r="I25" s="25" t="str">
        <x:v>S6, S9</x:v>
      </x:c>
    </x:row>
    <x:row r="26" ht="43.5" customHeight="1">
      <x:c r="A26" s="25" t="n">
        <x:v>21</x:v>
      </x:c>
      <x:c r="B26" s="21" t="str">
        <x:v>Falls</x:v>
      </x:c>
      <x:c r="C26" s="21" t="str">
        <x:v>Trauma</x:v>
      </x:c>
      <x:c r="D26" s="21" t="str">
        <x:v>EMS / Fire</x:v>
      </x:c>
      <x:c r="E26" s="21" t="str">
        <x:v>Fall from standing, stairs, furniture, ice, ladder, or unknown fall.</x:v>
      </x:c>
      <x:c r="F26" s="21" t="str">
        <x:v>Falls can look routine but cause head, hip, spine, or internal injuries.</x:v>
      </x:c>
      <x:c r="G26" s="21" t="str">
        <x:v>Do not move if severe pain/head-neck injury; report height, blood thinners, consciousness, and pain.</x:v>
      </x:c>
      <x:c r="H26" s="21" t="str">
        <x:v>2,625,518 NEMSIS 2023 injury-cause events</x:v>
      </x:c>
      <x:c r="I26" s="25" t="str">
        <x:v>S3, S9</x:v>
      </x:c>
    </x:row>
    <x:row r="27" ht="43.5" customHeight="1">
      <x:c r="A27" s="25" t="n">
        <x:v>22</x:v>
      </x:c>
      <x:c r="B27" s="21" t="str">
        <x:v>Motor vehicle crash with injuries</x:v>
      </x:c>
      <x:c r="C27" s="21" t="str">
        <x:v>Trauma / Traffic</x:v>
      </x:c>
      <x:c r="D27" s="21" t="str">
        <x:v>EMS / Fire / Police</x:v>
      </x:c>
      <x:c r="E27" s="21" t="str">
        <x:v>Collision, rollover, pedestrian struck, trapped person, airbag, injuries, blocked road.</x:v>
      </x:c>
      <x:c r="F27" s="21" t="str">
        <x:v>Traffic danger and shock make callers scattered.</x:v>
      </x:c>
      <x:c r="G27" s="21" t="str">
        <x:v>Move to safety if possible, do not enter traffic, report location/direction, vehicles, injuries, entrapment, fire.</x:v>
      </x:c>
      <x:c r="H27" s="21" t="str">
        <x:v>1,410,893 NEMSIS 2023 injury-cause events; NFIRS EMS/rescue includes MVC with injuries</x:v>
      </x:c>
      <x:c r="I27" s="25" t="str">
        <x:v>S3, S4, S6</x:v>
      </x:c>
    </x:row>
    <x:row r="28" ht="43.5" customHeight="1">
      <x:c r="A28" s="25" t="n">
        <x:v>23</x:v>
      </x:c>
      <x:c r="B28" s="21" t="str">
        <x:v>Assault / fight / battery</x:v>
      </x:c>
      <x:c r="C28" s="21" t="str">
        <x:v>Trauma / Law Enforcement</x:v>
      </x:c>
      <x:c r="D28" s="21" t="str">
        <x:v>Police / EMS</x:v>
      </x:c>
      <x:c r="E28" s="21" t="str">
        <x:v>Fight, beating, domestic assault, weapon injury, person hurt after violence.</x:v>
      </x:c>
      <x:c r="F28" s="21" t="str">
        <x:v>Fear of the aggressor may stop clear reporting.</x:v>
      </x:c>
      <x:c r="G28" s="21" t="str">
        <x:v>Get to safety, do not confront, report weapons, suspect description, injuries, and whether scene is safe.</x:v>
      </x:c>
      <x:c r="H28" s="21" t="str">
        <x:v>379,944 NEMSIS 2023 injury-cause events; police crime call category</x:v>
      </x:c>
      <x:c r="I28" s="25" t="str">
        <x:v>S3, S7</x:v>
      </x:c>
    </x:row>
    <x:row r="29" ht="43.5" customHeight="1">
      <x:c r="A29" s="25" t="n">
        <x:v>24</x:v>
      </x:c>
      <x:c r="B29" s="21" t="str">
        <x:v>Cutting / stabbing / sharp object injury</x:v>
      </x:c>
      <x:c r="C29" s="21" t="str">
        <x:v>Trauma / Law Enforcement</x:v>
      </x:c>
      <x:c r="D29" s="21" t="str">
        <x:v>Police / EMS</x:v>
      </x:c>
      <x:c r="E29" s="21" t="str">
        <x:v>Stabbing, severe cut, glass/knife injury, uncontrolled bleeding.</x:v>
      </x:c>
      <x:c r="F29" s="21" t="str">
        <x:v>Caller may focus on the weapon or conflict instead of bleeding control.</x:v>
      </x:c>
      <x:c r="G29" s="21" t="str">
        <x:v>Apply direct pressure if safe, do not pull embedded objects, report weapon and suspect location.</x:v>
      </x:c>
      <x:c r="H29" s="21" t="str">
        <x:v>91,685 NEMSIS 2023 sharp-object injury events; police assault category includes stabbings</x:v>
      </x:c>
      <x:c r="I29" s="25" t="str">
        <x:v>S3, S7</x:v>
      </x:c>
    </x:row>
    <x:row r="30" ht="43.5" customHeight="1">
      <x:c r="A30" s="25" t="n">
        <x:v>25</x:v>
      </x:c>
      <x:c r="B30" s="21" t="str">
        <x:v>Gunshot / shooting / firearm injury</x:v>
      </x:c>
      <x:c r="C30" s="21" t="str">
        <x:v>Trauma / Law Enforcement</x:v>
      </x:c>
      <x:c r="D30" s="21" t="str">
        <x:v>Police / EMS</x:v>
      </x:c>
      <x:c r="E30" s="21" t="str">
        <x:v>Person shot, shots fired with victim, accidental discharge, firearm injury.</x:v>
      </x:c>
      <x:c r="F30" s="21" t="str">
        <x:v>Scene safety is the hardest part; callers may be in danger.</x:v>
      </x:c>
      <x:c r="G30" s="21" t="str">
        <x:v>Get behind cover or leave if safe; report victim count, shooter location, weapon, and bleeding.</x:v>
      </x:c>
      <x:c r="H30" s="21" t="str">
        <x:v>8,625 NEMSIS 2023 firearm injury events; police calls include shooting/shots fired</x:v>
      </x:c>
      <x:c r="I30" s="25" t="str">
        <x:v>S3, S7</x:v>
      </x:c>
    </x:row>
    <x:row r="31" ht="43.5" customHeight="1">
      <x:c r="A31" s="25" t="n">
        <x:v>26</x:v>
      </x:c>
      <x:c r="B31" s="21" t="str">
        <x:v>Suicide attempt / self-harm</x:v>
      </x:c>
      <x:c r="C31" s="21" t="str">
        <x:v>Behavioral / Trauma</x:v>
      </x:c>
      <x:c r="D31" s="21" t="str">
        <x:v>EMS / Police / Crisis</x:v>
      </x:c>
      <x:c r="E31" s="21" t="str">
        <x:v>Self-inflicted injury, overdose intent, threat to die, weapon, jump risk.</x:v>
      </x:c>
      <x:c r="F31" s="21" t="str">
        <x:v>Loved ones may hesitate from fear of police response or stigma.</x:v>
      </x:c>
      <x:c r="G31" s="21" t="str">
        <x:v>Keep yourself safe, remove means only if safe, stay on line, report weapons, substances, and injuries.</x:v>
      </x:c>
      <x:c r="H31" s="21" t="str">
        <x:v>60,289 NEMSIS 2023 intentional self-harm injury events; behavioral police category</x:v>
      </x:c>
      <x:c r="I31" s="25" t="str">
        <x:v>S3, S7</x:v>
      </x:c>
    </x:row>
    <x:row r="32" ht="43.5" customHeight="1">
      <x:c r="A32" s="25" t="n">
        <x:v>27</x:v>
      </x:c>
      <x:c r="B32" s="21" t="str">
        <x:v>Head injury</x:v>
      </x:c>
      <x:c r="C32" s="21" t="str">
        <x:v>Trauma</x:v>
      </x:c>
      <x:c r="D32" s="21" t="str">
        <x:v>EMS</x:v>
      </x:c>
      <x:c r="E32" s="21" t="str">
        <x:v>Hit head, fall with confusion, loss of consciousness, vomiting, blood thinners, seizure after injury.</x:v>
      </x:c>
      <x:c r="F32" s="21" t="str">
        <x:v>Symptoms may appear delayed or subtle.</x:v>
      </x:c>
      <x:c r="G32" s="21" t="str">
        <x:v>Keep still; report loss of consciousness, vomiting, confusion, anticoagulants, and mechanism.</x:v>
      </x:c>
      <x:c r="H32" s="21" t="str">
        <x:v>Common EMS trauma presentation; grouped under NEMSIS injury causes</x:v>
      </x:c>
      <x:c r="I32" s="25" t="str">
        <x:v>S3, S9</x:v>
      </x:c>
    </x:row>
    <x:row r="33" ht="43.5" customHeight="1">
      <x:c r="A33" s="25" t="n">
        <x:v>28</x:v>
      </x:c>
      <x:c r="B33" s="21" t="str">
        <x:v>Fracture / broken bone / dislocation</x:v>
      </x:c>
      <x:c r="C33" s="21" t="str">
        <x:v>Trauma</x:v>
      </x:c>
      <x:c r="D33" s="21" t="str">
        <x:v>EMS / Fire</x:v>
      </x:c>
      <x:c r="E33" s="21" t="str">
        <x:v>Obvious deformity, severe pain, unable to bear weight, open fracture.</x:v>
      </x:c>
      <x:c r="F33" s="21" t="str">
        <x:v>Pain and visible injury can create panic and unnecessary movement.</x:v>
      </x:c>
      <x:c r="G33" s="21" t="str">
        <x:v>Immobilize as found, cover open wounds, check bleeding, do not straighten deformity.</x:v>
      </x:c>
      <x:c r="H33" s="21" t="str">
        <x:v>18,069 NEMSIS 2023 fracture injury-cause events</x:v>
      </x:c>
      <x:c r="I33" s="25" t="str">
        <x:v>S3, S9</x:v>
      </x:c>
    </x:row>
    <x:row r="34" ht="43.5" customHeight="1">
      <x:c r="A34" s="25" t="n">
        <x:v>29</x:v>
      </x:c>
      <x:c r="B34" s="21" t="str">
        <x:v>Crush / machinery / industrial accident</x:v>
      </x:c>
      <x:c r="C34" s="21" t="str">
        <x:v>Trauma / Rescue</x:v>
      </x:c>
      <x:c r="D34" s="21" t="str">
        <x:v>Fire / EMS</x:v>
      </x:c>
      <x:c r="E34" s="21" t="str">
        <x:v>Person trapped in machinery, crush injury, workplace accident, amputation risk.</x:v>
      </x:c>
      <x:c r="F34" s="21" t="str">
        <x:v>Special rescue risk makes bystander action dangerous.</x:v>
      </x:c>
      <x:c r="G34" s="21" t="str">
        <x:v>Shut off equipment only if safe, do not pull trapped person, report machinery type and hazards.</x:v>
      </x:c>
      <x:c r="H34" s="21" t="str">
        <x:v>9,285 machinery and 14,857 crush NEMSIS 2023 injury-cause events; PulsePoint industrial accident type</x:v>
      </x:c>
      <x:c r="I34" s="25" t="str">
        <x:v>S3, S6</x:v>
      </x:c>
    </x:row>
    <x:row r="35" ht="43.5" customHeight="1">
      <x:c r="A35" s="25" t="n">
        <x:v>30</x:v>
      </x:c>
      <x:c r="B35" s="21" t="str">
        <x:v>Dog bite / animal attack</x:v>
      </x:c>
      <x:c r="C35" s="21" t="str">
        <x:v>Trauma / Public Safety</x:v>
      </x:c>
      <x:c r="D35" s="21" t="str">
        <x:v>EMS / Police / Animal Control</x:v>
      </x:c>
      <x:c r="E35" s="21" t="str">
        <x:v>Animal bite, attack in progress, severe bleeding, child injured, dangerous animal loose.</x:v>
      </x:c>
      <x:c r="F35" s="21" t="str">
        <x:v>Caller may chase the animal or expose themselves.</x:v>
      </x:c>
      <x:c r="G35" s="21" t="str">
        <x:v>Move to safety, control bleeding, avoid capturing animal, report location and description.</x:v>
      </x:c>
      <x:c r="H35" s="21" t="str">
        <x:v>31,578 NEMSIS 2023 dog-bite injury events; animal problem police category</x:v>
      </x:c>
      <x:c r="I35" s="25" t="str">
        <x:v>S3, S7</x:v>
      </x:c>
    </x:row>
    <x:row r="36" ht="43.5" customHeight="1">
      <x:c r="A36" s="25" t="n">
        <x:v>31</x:v>
      </x:c>
      <x:c r="B36" s="21" t="str">
        <x:v>Structure fire</x:v>
      </x:c>
      <x:c r="C36" s="21" t="str">
        <x:v>Fire</x:v>
      </x:c>
      <x:c r="D36" s="21" t="str">
        <x:v>Fire</x:v>
      </x:c>
      <x:c r="E36" s="21" t="str">
        <x:v>House, apartment, commercial building, smoke/flames inside, people trapped.</x:v>
      </x:c>
      <x:c r="F36" s="21" t="str">
        <x:v>People may try to investigate or retrieve items.</x:v>
      </x:c>
      <x:c r="G36" s="21" t="str">
        <x:v>Evacuate, close doors behind you if safe, call from outside, report trapped people and hazards.</x:v>
      </x:c>
      <x:c r="H36" s="21" t="str">
        <x:v>NFIRS fire category; PulsePoint structure/residential/commercial fire types</x:v>
      </x:c>
      <x:c r="I36" s="25" t="str">
        <x:v>S4, S5, S6</x:v>
      </x:c>
    </x:row>
    <x:row r="37" ht="43.5" customHeight="1">
      <x:c r="A37" s="25" t="n">
        <x:v>32</x:v>
      </x:c>
      <x:c r="B37" s="21" t="str">
        <x:v>Vehicle fire</x:v>
      </x:c>
      <x:c r="C37" s="21" t="str">
        <x:v>Fire / Traffic</x:v>
      </x:c>
      <x:c r="D37" s="21" t="str">
        <x:v>Fire / Police</x:v>
      </x:c>
      <x:c r="E37" s="21" t="str">
        <x:v>Car, truck, bus, motorcycle, or equipment burning.</x:v>
      </x:c>
      <x:c r="F37" s="21" t="str">
        <x:v>Explosions, traffic, and smoke make callers freeze or move too close.</x:v>
      </x:c>
      <x:c r="G37" s="21" t="str">
        <x:v>Move away uphill/upwind if possible, keep traffic distance, report fuel/EV/hazmat and location.</x:v>
      </x:c>
      <x:c r="H37" s="21" t="str">
        <x:v>PulsePoint vehicle fire type; NFIRS fire category</x:v>
      </x:c>
      <x:c r="I37" s="25" t="str">
        <x:v>S5, S6</x:v>
      </x:c>
    </x:row>
    <x:row r="38" ht="43.5" customHeight="1">
      <x:c r="A38" s="25" t="n">
        <x:v>33</x:v>
      </x:c>
      <x:c r="B38" s="21" t="str">
        <x:v>Vegetation / brush / wildland fire</x:v>
      </x:c>
      <x:c r="C38" s="21" t="str">
        <x:v>Fire / Weather</x:v>
      </x:c>
      <x:c r="D38" s="21" t="str">
        <x:v>Fire</x:v>
      </x:c>
      <x:c r="E38" s="21" t="str">
        <x:v>Grass, brush, trees, wildfire smoke, fire spreading outdoors.</x:v>
      </x:c>
      <x:c r="F38" s="21" t="str">
        <x:v>Small outdoor fires can spread fast in wind.</x:v>
      </x:c>
      <x:c r="G38" s="21" t="str">
        <x:v>Leave threatened area, note wind/spread direction, do not block access roads.</x:v>
      </x:c>
      <x:c r="H38" s="21" t="str">
        <x:v>PulsePoint vegetation fire; NFIRS severe/fire categories</x:v>
      </x:c>
      <x:c r="I38" s="25" t="str">
        <x:v>S5, S6</x:v>
      </x:c>
    </x:row>
    <x:row r="39" ht="43.5" customHeight="1">
      <x:c r="A39" s="25" t="n">
        <x:v>34</x:v>
      </x:c>
      <x:c r="B39" s="21" t="str">
        <x:v>Smoke investigation / odor of smoke</x:v>
      </x:c>
      <x:c r="C39" s="21" t="str">
        <x:v>Fire / Alarm</x:v>
      </x:c>
      <x:c r="D39" s="21" t="str">
        <x:v>Fire</x:v>
      </x:c>
      <x:c r="E39" s="21" t="str">
        <x:v>Smell smoke, visible smoke, unknown source, alarm sounding.</x:v>
      </x:c>
      <x:c r="F39" s="21" t="str">
        <x:v>No visible flames may cause delay.</x:v>
      </x:c>
      <x:c r="G39" s="21" t="str">
        <x:v>Evacuate if smoke inside, avoid opening hot doors, report alarm status and smoke location.</x:v>
      </x:c>
      <x:c r="H39" s="21" t="str">
        <x:v>PulsePoint smoke investigation and alarm types; NFIRS alarm/fire categories</x:v>
      </x:c>
      <x:c r="I39" s="25" t="str">
        <x:v>S5, S6</x:v>
      </x:c>
    </x:row>
    <x:row r="40" ht="43.5" customHeight="1">
      <x:c r="A40" s="25" t="n">
        <x:v>35</x:v>
      </x:c>
      <x:c r="B40" s="21" t="str">
        <x:v>Carbon monoxide alarm / CO exposure</x:v>
      </x:c>
      <x:c r="C40" s="21" t="str">
        <x:v>HazMat / Medical</x:v>
      </x:c>
      <x:c r="D40" s="21" t="str">
        <x:v>Fire / EMS</x:v>
      </x:c>
      <x:c r="E40" s="21" t="str">
        <x:v>CO detector sounding, headache, dizziness, nausea, multiple sick people.</x:v>
      </x:c>
      <x:c r="F40" s="21" t="str">
        <x:v>CO is invisible and odorless, so people may distrust alarms.</x:v>
      </x:c>
      <x:c r="G40" s="21" t="str">
        <x:v>Leave the building, get fresh air, do not re-enter, report symptoms and detector reading if known.</x:v>
      </x:c>
      <x:c r="H40" s="21" t="str">
        <x:v>PulsePoint carbon monoxide alarm; NFIRS CO detector activation codes</x:v>
      </x:c>
      <x:c r="I40" s="25" t="str">
        <x:v>S5, S6</x:v>
      </x:c>
    </x:row>
    <x:row r="41" ht="43.5" customHeight="1">
      <x:c r="A41" s="25" t="n">
        <x:v>36</x:v>
      </x:c>
      <x:c r="B41" s="21" t="str">
        <x:v>Gas leak / odor of gas</x:v>
      </x:c>
      <x:c r="C41" s="21" t="str">
        <x:v>HazMat / Utility</x:v>
      </x:c>
      <x:c r="D41" s="21" t="str">
        <x:v>Fire / Utility</x:v>
      </x:c>
      <x:c r="E41" s="21" t="str">
        <x:v>Smell gas, hissing sound, damaged gas line, pipeline emergency.</x:v>
      </x:c>
      <x:c r="F41" s="21" t="str">
        <x:v>People may turn switches on/off or search for leak.</x:v>
      </x:c>
      <x:c r="G41" s="21" t="str">
        <x:v>Leave area, avoid flames/sparks/switches, call from outside, report odor location and shutoff if known.</x:v>
      </x:c>
      <x:c r="H41" s="21" t="str">
        <x:v>PulsePoint gas leak and pipeline emergency; NFIRS hazardous condition</x:v>
      </x:c>
      <x:c r="I41" s="25" t="str">
        <x:v>S5, S6</x:v>
      </x:c>
    </x:row>
    <x:row r="42" ht="43.5" customHeight="1">
      <x:c r="A42" s="25" t="n">
        <x:v>37</x:v>
      </x:c>
      <x:c r="B42" s="21" t="str">
        <x:v>Powerline / electrical emergency</x:v>
      </x:c>
      <x:c r="C42" s="21" t="str">
        <x:v>HazMat / Utility</x:v>
      </x:c>
      <x:c r="D42" s="21" t="str">
        <x:v>Fire / Utility / Police</x:v>
      </x:c>
      <x:c r="E42" s="21" t="str">
        <x:v>Wires down, arcing, transformer explosion, electrical fire or shock hazard.</x:v>
      </x:c>
      <x:c r="F42" s="21" t="str">
        <x:v>Bystanders may approach before understanding energized ground risk.</x:v>
      </x:c>
      <x:c r="G42" s="21" t="str">
        <x:v>Stay far away, keep others back, remain in vehicle if wire is on it unless fire forces exit.</x:v>
      </x:c>
      <x:c r="H42" s="21" t="str">
        <x:v>PulsePoint wires down/arcing and electrical emergency types</x:v>
      </x:c>
      <x:c r="I42" s="25" t="str">
        <x:v>S6</x:v>
      </x:c>
    </x:row>
    <x:row r="43" ht="43.5" customHeight="1">
      <x:c r="A43" s="25" t="n">
        <x:v>38</x:v>
      </x:c>
      <x:c r="B43" s="21" t="str">
        <x:v>Hazardous materials / chemical spill</x:v>
      </x:c>
      <x:c r="C43" s="21" t="str">
        <x:v>HazMat</x:v>
      </x:c>
      <x:c r="D43" s="21" t="str">
        <x:v>Fire / HazMat / EMS</x:v>
      </x:c>
      <x:c r="E43" s="21" t="str">
        <x:v>Chemical odor, spill, unknown powder, industrial release, fuel leak.</x:v>
      </x:c>
      <x:c r="F43" s="21" t="str">
        <x:v>Unclear substances make normal instincts unsafe.</x:v>
      </x:c>
      <x:c r="G43" s="21" t="str">
        <x:v>Move uphill/upwind, avoid contact, isolate area, report labels/placards and symptoms.</x:v>
      </x:c>
      <x:c r="H43" s="21" t="str">
        <x:v>PulsePoint Hazmat response/investigation; NFIRS hazardous condition</x:v>
      </x:c>
      <x:c r="I43" s="25" t="str">
        <x:v>S5, S6</x:v>
      </x:c>
    </x:row>
    <x:row r="44" ht="43.5" customHeight="1">
      <x:c r="A44" s="25" t="n">
        <x:v>39</x:v>
      </x:c>
      <x:c r="B44" s="21" t="str">
        <x:v>Water rescue / drowning</x:v>
      </x:c>
      <x:c r="C44" s="21" t="str">
        <x:v>Rescue / Medical</x:v>
      </x:c>
      <x:c r="D44" s="21" t="str">
        <x:v>Fire / EMS / Police</x:v>
      </x:c>
      <x:c r="E44" s="21" t="str">
        <x:v>Person underwater, struggling swimmer, boat accident, flood water rescue.</x:v>
      </x:c>
      <x:c r="F44" s="21" t="str">
        <x:v>Bystanders often enter water and become victims.</x:v>
      </x:c>
      <x:c r="G44" s="21" t="str">
        <x:v>Call 911, throw/reach if safe, avoid entering dangerous water, report last seen point.</x:v>
      </x:c>
      <x:c r="H44" s="21" t="str">
        <x:v>PulsePoint water rescue; Volusia dispatch code includes drowning</x:v>
      </x:c>
      <x:c r="I44" s="25" t="str">
        <x:v>S6, S7</x:v>
      </x:c>
    </x:row>
    <x:row r="45" ht="43.5" customHeight="1">
      <x:c r="A45" s="25" t="n">
        <x:v>40</x:v>
      </x:c>
      <x:c r="B45" s="21" t="str">
        <x:v>Entrapment / elevator / technical rescue</x:v>
      </x:c>
      <x:c r="C45" s="21" t="str">
        <x:v>Rescue</x:v>
      </x:c>
      <x:c r="D45" s="21" t="str">
        <x:v>Fire / EMS</x:v>
      </x:c>
      <x:c r="E45" s="21" t="str">
        <x:v>Person trapped in elevator, confined space, collapse, trench, cliff, rope rescue.</x:v>
      </x:c>
      <x:c r="F45" s="21" t="str">
        <x:v>Rescue may require special equipment; improvised attempts can worsen risk.</x:v>
      </x:c>
      <x:c r="G45" s="21" t="str">
        <x:v>Keep communication with trapped person, avoid forcing doors/unstable structures, report hazards.</x:v>
      </x:c>
      <x:c r="H45" s="21" t="str">
        <x:v>PulsePoint rescue, elevator rescue, confined space, trench, rope, structural collapse types</x:v>
      </x:c>
      <x:c r="I45" s="25" t="str">
        <x:v>S6</x:v>
      </x:c>
    </x:row>
    <x:row r="46" ht="43.5" customHeight="1">
      <x:c r="A46" s="25" t="n">
        <x:v>41</x:v>
      </x:c>
      <x:c r="B46" s="21" t="str">
        <x:v>Domestic violence / domestic disturbance</x:v>
      </x:c>
      <x:c r="C46" s="21" t="str">
        <x:v>Law Enforcement / Medical</x:v>
      </x:c>
      <x:c r="D46" s="21" t="str">
        <x:v>Police / EMS</x:v>
      </x:c>
      <x:c r="E46" s="21" t="str">
        <x:v>Partner/family violence, threats, assault, screaming, weapon, children present.</x:v>
      </x:c>
      <x:c r="F46" s="21" t="str">
        <x:v>Victims may be unable to speak freely or fear escalation.</x:v>
      </x:c>
      <x:c r="G46" s="21" t="str">
        <x:v>Get to safety if possible, speak plainly if safe, report weapons, injuries, children, and suspect location.</x:v>
      </x:c>
      <x:c r="H46" s="21" t="str">
        <x:v>Portland police domestic violence call category; common police CAD category</x:v>
      </x:c>
      <x:c r="I46" s="25" t="str">
        <x:v>S7</x:v>
      </x:c>
    </x:row>
    <x:row r="47" ht="43.5" customHeight="1">
      <x:c r="A47" s="25" t="n">
        <x:v>42</x:v>
      </x:c>
      <x:c r="B47" s="21" t="str">
        <x:v>Disturbance / disorderly conduct</x:v>
      </x:c>
      <x:c r="C47" s="21" t="str">
        <x:v>Law Enforcement</x:v>
      </x:c>
      <x:c r="D47" s="21" t="str">
        <x:v>Police</x:v>
      </x:c>
      <x:c r="E47" s="21" t="str">
        <x:v>Fight brewing, disorder, threatening behavior, loud disturbance, public peace threat.</x:v>
      </x:c>
      <x:c r="F47" s="21" t="str">
        <x:v>Callers may not know if it is crime, mental health, substance use, or conflict.</x:v>
      </x:c>
      <x:c r="G47" s="21" t="str">
        <x:v>Keep distance, observe safely, report number of people, weapons, injuries, and direction of travel.</x:v>
      </x:c>
      <x:c r="H47" s="21" t="str">
        <x:v>Robina: frequent emergency police call type; Portland disorder/disturbance categories</x:v>
      </x:c>
      <x:c r="I47" s="25" t="str">
        <x:v>S7, S8</x:v>
      </x:c>
    </x:row>
    <x:row r="48" ht="43.5" customHeight="1">
      <x:c r="A48" s="25" t="n">
        <x:v>43</x:v>
      </x:c>
      <x:c r="B48" s="21" t="str">
        <x:v>Suspicious person / vehicle / activity</x:v>
      </x:c>
      <x:c r="C48" s="21" t="str">
        <x:v>Law Enforcement</x:v>
      </x:c>
      <x:c r="D48" s="21" t="str">
        <x:v>Police</x:v>
      </x:c>
      <x:c r="E48" s="21" t="str">
        <x:v>Suspicious behavior, prowler, vehicle circling, unknown person trying doors.</x:v>
      </x:c>
      <x:c r="F48" s="21" t="str">
        <x:v>Hard to describe without sounding uncertain.</x:v>
      </x:c>
      <x:c r="G48" s="21" t="str">
        <x:v>Report specific behaviors, description, direction, license plate if safe, and why it seems dangerous.</x:v>
      </x:c>
      <x:c r="H48" s="21" t="str">
        <x:v>Robina: frequent emergency police call type; Portland suspicious category</x:v>
      </x:c>
      <x:c r="I48" s="25" t="str">
        <x:v>S7, S8</x:v>
      </x:c>
    </x:row>
    <x:row r="49" ht="43.5" customHeight="1">
      <x:c r="A49" s="25" t="n">
        <x:v>44</x:v>
      </x:c>
      <x:c r="B49" s="21" t="str">
        <x:v>911 hang-up / open line / abandoned call</x:v>
      </x:c>
      <x:c r="C49" s="21" t="str">
        <x:v>Alarm / Law Enforcement</x:v>
      </x:c>
      <x:c r="D49" s="21" t="str">
        <x:v>Police / EMS / Fire</x:v>
      </x:c>
      <x:c r="E49" s="21" t="str">
        <x:v>Accidental dial, disconnected call, silent line, open line with distress sounds.</x:v>
      </x:c>
      <x:c r="F49" s="21" t="str">
        <x:v>The caller may be unable to speak or may not know help is still possible.</x:v>
      </x:c>
      <x:c r="G49" s="21" t="str">
        <x:v>If you can speak, say location and emergency; if unsafe, follow dispatcher prompts and stay connected.</x:v>
      </x:c>
      <x:c r="H49" s="21" t="str">
        <x:v>Robina: investigate 911 hang-up among frequent emergency police calls</x:v>
      </x:c>
      <x:c r="I49" s="25" t="str">
        <x:v>S8, S2</x:v>
      </x:c>
    </x:row>
    <x:row r="50" ht="43.5" customHeight="1">
      <x:c r="A50" s="25" t="n">
        <x:v>45</x:v>
      </x:c>
      <x:c r="B50" s="21" t="str">
        <x:v>Burglary / intrusion alarm</x:v>
      </x:c>
      <x:c r="C50" s="21" t="str">
        <x:v>Alarm / Law Enforcement</x:v>
      </x:c>
      <x:c r="D50" s="21" t="str">
        <x:v>Police</x:v>
      </x:c>
      <x:c r="E50" s="21" t="str">
        <x:v>Alarm activation, break-in, prowler, door/window forced, burglary in progress.</x:v>
      </x:c>
      <x:c r="F50" s="21" t="str">
        <x:v>False alarms are common, but real burglaries are time-sensitive.</x:v>
      </x:c>
      <x:c r="G50" s="21" t="str">
        <x:v>Stay out if suspect may be inside, report alarm company info, entry point, and suspect/vehicle description.</x:v>
      </x:c>
      <x:c r="H50" s="21" t="str">
        <x:v>Portland alarm and burglary categories; Volusia burglary alarm type</x:v>
      </x:c>
      <x:c r="I50" s="25" t="str">
        <x:v>S7</x:v>
      </x:c>
    </x:row>
    <x:row r="51" ht="43.5" customHeight="1">
      <x:c r="A51" s="25" t="n">
        <x:v>46</x:v>
      </x:c>
      <x:c r="B51" s="21" t="str">
        <x:v>Robbery / theft in progress</x:v>
      </x:c>
      <x:c r="C51" s="21" t="str">
        <x:v>Law Enforcement</x:v>
      </x:c>
      <x:c r="D51" s="21" t="str">
        <x:v>Police / EMS</x:v>
      </x:c>
      <x:c r="E51" s="21" t="str">
        <x:v>Someone taking property by force or threat, store robbery, purse snatch, active theft.</x:v>
      </x:c>
      <x:c r="F51" s="21" t="str">
        <x:v>Victims may chase or confront suspect.</x:v>
      </x:c>
      <x:c r="G51" s="21" t="str">
        <x:v>Do not confront; get safe, note description, weapon, direction, vehicle, injuries.</x:v>
      </x:c>
      <x:c r="H51" s="21" t="str">
        <x:v>Portland robbery and theft categories</x:v>
      </x:c>
      <x:c r="I51" s="25" t="str">
        <x:v>S7</x:v>
      </x:c>
    </x:row>
    <x:row r="52" ht="43.5" customHeight="1">
      <x:c r="A52" s="25" t="n">
        <x:v>47</x:v>
      </x:c>
      <x:c r="B52" s="21" t="str">
        <x:v>Trespassing / unwanted person / prowler</x:v>
      </x:c>
      <x:c r="C52" s="21" t="str">
        <x:v>Law Enforcement</x:v>
      </x:c>
      <x:c r="D52" s="21" t="str">
        <x:v>Police</x:v>
      </x:c>
      <x:c r="E52" s="21" t="str">
        <x:v>Person refusing to leave, prowler, trespasser, suspicious person on property.</x:v>
      </x:c>
      <x:c r="F52" s="21" t="str">
        <x:v>Can escalate if caller confronts the person.</x:v>
      </x:c>
      <x:c r="G52" s="21" t="str">
        <x:v>Stay separated, avoid confrontation, report behavior, location, threats, weapons, and description.</x:v>
      </x:c>
      <x:c r="H52" s="21" t="str">
        <x:v>Portland unwanted person category; Volusia prowler/trespasser code</x:v>
      </x:c>
      <x:c r="I52" s="25" t="str">
        <x:v>S7</x:v>
      </x:c>
    </x:row>
    <x:row r="53" ht="43.5" customHeight="1">
      <x:c r="A53" s="25" t="n">
        <x:v>48</x:v>
      </x:c>
      <x:c r="B53" s="21" t="str">
        <x:v>Missing person / lost child / endangered person</x:v>
      </x:c>
      <x:c r="C53" s="21" t="str">
        <x:v>Law Enforcement / Rescue</x:v>
      </x:c>
      <x:c r="D53" s="21" t="str">
        <x:v>Police / Search / EMS</x:v>
      </x:c>
      <x:c r="E53" s="21" t="str">
        <x:v>Missing child, elderly person, dementia, disabled person, abduction concern.</x:v>
      </x:c>
      <x:c r="F53" s="21" t="str">
        <x:v>Families may lose critical time searching alone.</x:v>
      </x:c>
      <x:c r="G53" s="21" t="str">
        <x:v>Call quickly, give last known location/time, clothing, medical needs, phone/device, vehicle, and direction.</x:v>
      </x:c>
      <x:c r="H53" s="21" t="str">
        <x:v>Portland missing persons category; Volusia missing/lost child codes</x:v>
      </x:c>
      <x:c r="I53" s="25" t="str">
        <x:v>S7</x:v>
      </x:c>
    </x:row>
    <x:row r="54" ht="43.5" customHeight="1">
      <x:c r="A54" s="25" t="n">
        <x:v>49</x:v>
      </x:c>
      <x:c r="B54" s="21" t="str">
        <x:v>Welfare check / check on safety</x:v>
      </x:c>
      <x:c r="C54" s="21" t="str">
        <x:v>Law Enforcement / Medical</x:v>
      </x:c>
      <x:c r="D54" s="21" t="str">
        <x:v>Police / EMS / Crisis</x:v>
      </x:c>
      <x:c r="E54" s="21" t="str">
        <x:v>Unable to reach person, concerning messages, person may be ill, unsafe, or in crisis.</x:v>
      </x:c>
      <x:c r="F54" s="21" t="str">
        <x:v>Uncertainty makes callers delay because they do not want to overreact.</x:v>
      </x:c>
      <x:c r="G54" s="21" t="str">
        <x:v>Provide exact address, access info, risk factors, medical/mental health concerns, and why you are worried.</x:v>
      </x:c>
      <x:c r="H54" s="21" t="str">
        <x:v>Portland welfare check category; Robina crisis-related call analysis</x:v>
      </x:c>
      <x:c r="I54" s="25" t="str">
        <x:v>S7, S8</x:v>
      </x:c>
    </x:row>
    <x:row r="55" ht="43.5" customHeight="1">
      <x:c r="A55" s="25" t="n">
        <x:v>50</x:v>
      </x:c>
      <x:c r="B55" s="21" t="str">
        <x:v>Weapons / threats / shots fired</x:v>
      </x:c>
      <x:c r="C55" s="21" t="str">
        <x:v>Law Enforcement</x:v>
      </x:c>
      <x:c r="D55" s="21" t="str">
        <x:v>Police / EMS</x:v>
      </x:c>
      <x:c r="E55" s="21" t="str">
        <x:v>Person with weapon, threats to harm, shots fired, bomb threat, armed subject.</x:v>
      </x:c>
      <x:c r="F55" s="21" t="str">
        <x:v>Fear can make callers stay exposed or omit location details.</x:v>
      </x:c>
      <x:c r="G55" s="21" t="str">
        <x:v>Get to cover or leave if safe, stay quiet if needed, report weapon, suspect location, injuries, and direction.</x:v>
      </x:c>
      <x:c r="H55" s="21" t="str">
        <x:v>Portland threat/shots fired categories; PulsePoint bomb threat type; Volusia armed/shooting/bomb threat codes</x:v>
      </x:c>
      <x:c r="I55" s="25" t="str">
        <x:v>S6, S7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ba7170be945c41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30000686645508" hidden="0" customWidth="1"/>
    <x:col min="2" max="2" width="37.0099983215332" hidden="0" customWidth="1"/>
    <x:col min="3" max="3" width="57.20000076293945" hidden="0" customWidth="1"/>
    <x:col min="4" max="4" width="15.479999542236328" hidden="0" customWidth="1"/>
  </x:cols>
  <x:sheetData>
    <x:row r="1">
      <x:c r="A1" s="20" t="str">
        <x:v>Emergency Categories and Source Basis</x:v>
      </x:c>
      <x:c r="B1" s="20"/>
      <x:c r="C1" s="20"/>
      <x:c r="D1" s="20"/>
    </x:row>
    <x:row r="2">
      <x:c r="A2" s="21"/>
      <x:c r="B2" s="21"/>
      <x:c r="C2" s="21"/>
      <x:c r="D2" s="21"/>
    </x:row>
    <x:row r="3" ht="51" customHeight="1">
      <x:c r="A3" s="22" t="str">
        <x:v>Category</x:v>
      </x:c>
      <x:c r="B3" s="22" t="str">
        <x:v>Definition</x:v>
      </x:c>
      <x:c r="C3" s="22" t="str">
        <x:v>Evidence / Notes</x:v>
      </x:c>
      <x:c r="D3" s="22" t="str">
        <x:v>Sources</x:v>
      </x:c>
    </x:row>
    <x:row r="4" ht="51" customHeight="1">
      <x:c r="A4" s="21" t="str">
        <x:v>Medical</x:v>
      </x:c>
      <x:c r="B4" s="21" t="str">
        <x:v>Illness or symptom calls needing EMS assessment, treatment, or transport.</x:v>
      </x:c>
      <x:c r="C4" s="21" t="str">
        <x:v>NEMSIS 2023 recorded 36,367,261 treated-and-transported 911 responses; top symptoms include weakness, shortness of breath, chest pain, mental status change, pain, fainting, bleeding, anxiety, and convulsions.</x:v>
      </x:c>
      <x:c r="D4" s="21" t="str">
        <x:v>S3</x:v>
      </x:c>
    </x:row>
    <x:row r="5" ht="51" customHeight="1">
      <x:c r="A5" s="21" t="str">
        <x:v>Trauma</x:v>
      </x:c>
      <x:c r="B5" s="21" t="str">
        <x:v>Injuries from falls, crashes, assault, cutting, firearms, machinery, crush injuries, bites, and other external causes.</x:v>
      </x:c>
      <x:c r="C5" s="21" t="str">
        <x:v>NEMSIS 2023 listed 5,073,148 top injury-cause events in its trauma-cause chart; falls were the largest named injury mechanism and motor-vehicle crashes were second.</x:v>
      </x:c>
      <x:c r="D5" s="21" t="str">
        <x:v>S3</x:v>
      </x:c>
    </x:row>
    <x:row r="6" ht="51" customHeight="1">
      <x:c r="A6" s="21" t="str">
        <x:v>Fire</x:v>
      </x:c>
      <x:c r="B6" s="21" t="str">
        <x:v>Reported fire, smoke, alarm, structure, vehicle, vegetation, appliance, dumpster, or electrical fire.</x:v>
      </x:c>
      <x:c r="C6" s="21" t="str">
        <x:v>USFA/NFIRS 2020: fire was 3.9% of fire department runs, while alarms and good-intent calls were much larger categories.</x:v>
      </x:c>
      <x:c r="D6" s="21" t="str">
        <x:v>S4, S5, S6</x:v>
      </x:c>
    </x:row>
    <x:row r="7" ht="51" customHeight="1">
      <x:c r="A7" s="21" t="str">
        <x:v>HazMat / Utility</x:v>
      </x:c>
      <x:c r="B7" s="21" t="str">
        <x:v>Gas leak, carbon monoxide, power line, electrical hazard, chemical release, odor, spill, or hazardous condition.</x:v>
      </x:c>
      <x:c r="C7" s="21" t="str">
        <x:v>USFA/NFIRS 2020: hazardous condition without fire was 3.4% of fire department runs; PulsePoint normalizes utility and HazMat CAD types.</x:v>
      </x:c>
      <x:c r="D7" s="21" t="str">
        <x:v>S4, S6</x:v>
      </x:c>
    </x:row>
    <x:row r="8" ht="51" customHeight="1">
      <x:c r="A8" s="21" t="str">
        <x:v>Rescue / Weather</x:v>
      </x:c>
      <x:c r="B8" s="21" t="str">
        <x:v>Water rescue, technical rescue, elevator entrapment, flooding, severe weather, structural collapse, and disaster response.</x:v>
      </x:c>
      <x:c r="C8" s="21" t="str">
        <x:v>USFA/NFIRS and PulsePoint both include severe weather/natural disaster and rescue categories, though national 911 counts vary by local hazard exposure.</x:v>
      </x:c>
      <x:c r="D8" s="21" t="str">
        <x:v>S4, S5, S6</x:v>
      </x:c>
    </x:row>
    <x:row r="9" ht="51" customHeight="1">
      <x:c r="A9" s="21" t="str">
        <x:v>Law Enforcement / Public Safety</x:v>
      </x:c>
      <x:c r="B9" s="21" t="str">
        <x:v>Violence, threats, weapons, suspicious activity, domestic disturbance, theft, burglary, missing person, welfare check, traffic hazard, and 911 hang-up.</x:v>
      </x:c>
      <x:c r="C9" s="21" t="str">
        <x:v>No single national all-time police 911 call-type ranking was found. Public dashboards and studies show common emergency categories such as disorder, 911 hang-up, suspicious activity, disturbance, domestic violence, traffic, burglary, and assault.</x:v>
      </x:c>
      <x:c r="D9" s="21" t="str">
        <x:v>S7, S8</x:v>
      </x:c>
    </x:row>
    <x:row r="10" ht="51" customHeight="1">
      <x:c r="A10" s="21" t="str">
        <x:v>Alarm / Good Intent / Service</x:v>
      </x:c>
      <x:c r="B10" s="21" t="str">
        <x:v>Alarms, open lines, unintentional reports, lift assists, public service, and calls where responders find no emergency or a lesser issue.</x:v>
      </x:c>
      <x:c r="C10" s="21" t="str">
        <x:v>USFA/NFIRS 2020: good-intent calls 11.7%, false alarm/false call 8.0%, service call 7.6% of fire department runs.</x:v>
      </x:c>
      <x:c r="D10" s="21" t="str">
        <x:v>S4, S5, S6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dc2a3013e1a4c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30.959999084472656" hidden="0" customWidth="1"/>
    <x:col min="3" max="3" width="66.62000274658203" hidden="0" customWidth="1"/>
    <x:col min="4" max="4" width="57.20000076293945" hidden="0" customWidth="1"/>
  </x:cols>
  <x:sheetData>
    <x:row r="1">
      <x:c r="A1" s="20" t="str">
        <x:v>Source Notes and Audit Trail</x:v>
      </x:c>
      <x:c r="B1" s="20"/>
      <x:c r="C1" s="20"/>
      <x:c r="D1" s="20"/>
    </x:row>
    <x:row r="2">
      <x:c r="A2" s="21"/>
      <x:c r="B2" s="21"/>
      <x:c r="C2" s="21"/>
      <x:c r="D2" s="21"/>
    </x:row>
    <x:row r="3" ht="45" customHeight="1">
      <x:c r="A3" s="22" t="str">
        <x:v>Key</x:v>
      </x:c>
      <x:c r="B3" s="22" t="str">
        <x:v>Source</x:v>
      </x:c>
      <x:c r="C3" s="22" t="str">
        <x:v>What It Supports</x:v>
      </x:c>
      <x:c r="D3" s="22" t="str">
        <x:v>URL</x:v>
      </x:c>
    </x:row>
    <x:row r="4" ht="45" customHeight="1">
      <x:c r="A4" s="21" t="str">
        <x:v>S1</x:v>
      </x:c>
      <x:c r="B4" s="21" t="str">
        <x:v>NHTSA / National 911 Program</x:v>
      </x:c>
      <x:c r="C4" s="21" t="str">
        <x:v>Public safety telecommunicators receive about 240 million 911 calls each year in the U.S.</x:v>
      </x:c>
      <x:c r="D4" s="21" t="str">
        <x:v>https://www.nhtsa.gov/national-public-safety-telecommunicators-week</x:v>
      </x:c>
    </x:row>
    <x:row r="5" ht="45" customHeight="1">
      <x:c r="A5" s="21" t="str">
        <x:v>S2</x:v>
      </x:c>
      <x:c r="B5" s="21" t="str">
        <x:v>911.gov - Calling 911</x:v>
      </x:c>
      <x:c r="C5" s="21" t="str">
        <x:v>Defines emergency as immediate police, fire, or ambulance assistance; callers should give location, phone, nature, and details, and stay on the line.</x:v>
      </x:c>
      <x:c r="D5" s="21" t="str">
        <x:v>https://www.911.gov/calling-911/</x:v>
      </x:c>
    </x:row>
    <x:row r="6" ht="45" customHeight="1">
      <x:c r="A6" s="21" t="str">
        <x:v>S3</x:v>
      </x:c>
      <x:c r="B6" s="21" t="str">
        <x:v>NEMSIS Annual Public Data Report 2023</x:v>
      </x:c>
      <x:c r="C6" s="21" t="str">
        <x:v>National EMS database summary: 54,190,579 activations; 36,367,261 treated-and-transported 911 responses; top symptoms and injury causes.</x:v>
      </x:c>
      <x:c r="D6" s="21" t="str">
        <x:v>https://nemsis.org/wp-content/uploads/2025/02/NEMSIS-Annual-Public-Data-Report-2023_.pdf</x:v>
      </x:c>
    </x:row>
    <x:row r="7" ht="45" customHeight="1">
      <x:c r="A7" s="21" t="str">
        <x:v>S4</x:v>
      </x:c>
      <x:c r="B7" s="21" t="str">
        <x:v>U.S. Fire Administration - Fire Department Overall Run Profile 2020</x:v>
      </x:c>
      <x:c r="C7" s="21" t="str">
        <x:v>NFIRS-based fire department run profile: 26,959,000 runs; EMS/rescue 64.2%, good intent 11.7%, false alarm 8.0%, service call 7.6%, fire 3.9%, hazardous condition 3.4%.</x:v>
      </x:c>
      <x:c r="D7" s="21" t="str">
        <x:v>https://www.usfa.fema.gov/statistics/reports/firefighters-departments/fire-department-run-profile-v22i1.html</x:v>
      </x:c>
    </x:row>
    <x:row r="8" ht="45" customHeight="1">
      <x:c r="A8" s="21" t="str">
        <x:v>S5</x:v>
      </x:c>
      <x:c r="B8" s="21" t="str">
        <x:v>USFA NFIRS incident type guidance and design documentation</x:v>
      </x:c>
      <x:c r="C8" s="21" t="str">
        <x:v>NFIRS incident type codes classify fires, EMS/rescue, hazardous conditions, service calls, good intent, false alarms, severe weather, and special incidents.</x:v>
      </x:c>
      <x:c r="D8" s="21" t="str">
        <x:v>https://www.usfa.fema.gov/nfirs/coding-help/incident-type/</x:v>
      </x:c>
    </x:row>
    <x:row r="9" ht="45" customHeight="1">
      <x:c r="A9" s="21" t="str">
        <x:v>S6</x:v>
      </x:c>
      <x:c r="B9" s="21" t="str">
        <x:v>PulsePoint Incident Types</x:v>
      </x:c>
      <x:c r="C9" s="21" t="str">
        <x:v>Standardized PSAP/CAD incident types across many public safety agencies, including fire, medical, hazard, rescue, vehicle, alarm, wires, and natural disaster events.</x:v>
      </x:c>
      <x:c r="D9" s="21" t="str">
        <x:v>https://www.pulsepoint.org/incident-types</x:v>
      </x:c>
    </x:row>
    <x:row r="10" ht="45" customHeight="1">
      <x:c r="A10" s="21" t="str">
        <x:v>S7</x:v>
      </x:c>
      <x:c r="B10" s="21" t="str">
        <x:v>Portland Police Dispatched Calls Dashboard</x:v>
      </x:c>
      <x:c r="C10" s="21" t="str">
        <x:v>Police call categories include alarm, assist, civil, behavioral, missing persons, crime, disorder, traffic, and other; community-generated calls include 911 and non-emergency.</x:v>
      </x:c>
      <x:c r="D10" s="21" t="str">
        <x:v>https://www.portland.gov/police/open-data/police-dispatched-calls</x:v>
      </x:c>
    </x:row>
    <x:row r="11" ht="45" customHeight="1">
      <x:c r="A11" s="21" t="str">
        <x:v>S8</x:v>
      </x:c>
      <x:c r="B11" s="21" t="str">
        <x:v>Robina Institute analysis of 911-initiated police calls</x:v>
      </x:c>
      <x:c r="C11" s="21" t="str">
        <x:v>Emergency police call types frequently included disorderly conduct, investigate 911 hang-up, and suspicious activity in the studied jurisdiction.</x:v>
      </x:c>
      <x:c r="D11" s="21" t="str">
        <x:v>https://robinainstitute.umn.edu/sites/robinainstitute.umn.edu/files/2022-02/calls_for_service_final_report_5-3-2021_final.pdf</x:v>
      </x:c>
    </x:row>
    <x:row r="12" ht="45" customHeight="1">
      <x:c r="A12" s="21" t="str">
        <x:v>S9</x:v>
      </x:c>
      <x:c r="B12" s="21" t="str">
        <x:v>American Red Cross - First Aid Steps</x:v>
      </x:c>
      <x:c r="C12" s="21" t="str">
        <x:v>Check scene safety, check responsiveness/breathing/bleeding, call 911 for life-threatening conditions, start CPR/AED if trained and needed.</x:v>
      </x:c>
      <x:c r="D12" s="21" t="str">
        <x:v>https://www.redcross.org/take-a-class/first-aid/performing-first-aid/first-aid-steps</x:v>
      </x:c>
    </x:row>
    <x:row r="13" ht="45" customHeight="1">
      <x:c r="A13" s="21" t="str">
        <x:v>S10</x:v>
      </x:c>
      <x:c r="B13" s="21" t="str">
        <x:v>Ready.gov - Emergency Planning</x:v>
      </x:c>
      <x:c r="C13" s="21" t="str">
        <x:v>Preparedness guidance: be informed, make a plan, build a kit, and know how to receive alerts and warnings.</x:v>
      </x:c>
      <x:c r="D13" s="21" t="str">
        <x:v>https://www.ready.gov/plan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7ea8ee27a4b40d4"/>
  </x:tableParts>
</x:worksheet>
</file>